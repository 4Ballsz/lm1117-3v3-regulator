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9" authorId="0">
      <text>
        <r>
          <rPr>
            <sz val="10"/>
            <rFont val="Arial"/>
            <family val="2"/>
          </rPr>
          <t xml:space="preserve">R2 DigiKey PN follows DigiKey's KOA Speer pattern 2019-&lt;MPN&gt;CT-ND (same as R1 and R3, confirmed). Price assumed equal to R1/R3, same series and size. Confirm on DigiKey before ordering.</t>
        </r>
      </text>
    </comment>
  </commentList>
</comments>
</file>

<file path=xl/sharedStrings.xml><?xml version="1.0" encoding="utf-8"?>
<sst xmlns="http://schemas.openxmlformats.org/spreadsheetml/2006/main" count="75" uniqueCount="65">
  <si>
    <t xml:space="preserve">LM1117 3.3 V Regulator Board — Bill of Materials (Rev 1)</t>
  </si>
  <si>
    <t xml:space="preserve">Prices: DigiKey Canada, CAD, quantity 1, cut tape, October 2026. One board.</t>
  </si>
  <si>
    <t xml:space="preserve">Designator</t>
  </si>
  <si>
    <t xml:space="preserve">Qty</t>
  </si>
  <si>
    <t xml:space="preserve">Value</t>
  </si>
  <si>
    <t xml:space="preserve">Footprint</t>
  </si>
  <si>
    <t xml:space="preserve">Manufacturer</t>
  </si>
  <si>
    <t xml:space="preserve">MPN</t>
  </si>
  <si>
    <t xml:space="preserve">Supplier</t>
  </si>
  <si>
    <t xml:space="preserve">Supplier PN</t>
  </si>
  <si>
    <t xml:space="preserve">Unit Price (CAD)</t>
  </si>
  <si>
    <t xml:space="preserve">Ext. Price (CAD)</t>
  </si>
  <si>
    <t xml:space="preserve">Description</t>
  </si>
  <si>
    <t xml:space="preserve">C1, C2</t>
  </si>
  <si>
    <t xml:space="preserve">10 µF 10 V</t>
  </si>
  <si>
    <t xml:space="preserve">0805 tantalum (CAPPM2012X120)</t>
  </si>
  <si>
    <t xml:space="preserve">Kyocera AVX</t>
  </si>
  <si>
    <t xml:space="preserve">F921A106MPA</t>
  </si>
  <si>
    <t xml:space="preserve">DigiKey</t>
  </si>
  <si>
    <t xml:space="preserve">478-11412-1-ND</t>
  </si>
  <si>
    <t xml:space="preserve">Tantalum MnO2, 10 µF ±20 %, 10 V, ESR 6 Ω, case P (0805)</t>
  </si>
  <si>
    <t xml:space="preserve">D1</t>
  </si>
  <si>
    <t xml:space="preserve">Red, 631 nm</t>
  </si>
  <si>
    <t xml:space="preserve">0805 (LTST-C170KRKT_V)</t>
  </si>
  <si>
    <t xml:space="preserve">Lite-On Inc.</t>
  </si>
  <si>
    <t xml:space="preserve">LTST-C170KRKT</t>
  </si>
  <si>
    <t xml:space="preserve">160-1415-1-ND</t>
  </si>
  <si>
    <t xml:space="preserve">Chip LED, red, 0805, Vf 1.5–2.4 V @ 20 mA</t>
  </si>
  <si>
    <t xml:space="preserve">J1, J2</t>
  </si>
  <si>
    <t xml:space="preserve">1×2 header</t>
  </si>
  <si>
    <t xml:space="preserve">THT 1×2, 2.54 mm (61300211121)</t>
  </si>
  <si>
    <t xml:space="preserve">Würth Elektronik</t>
  </si>
  <si>
    <t xml:space="preserve">61300211121</t>
  </si>
  <si>
    <t xml:space="preserve">732-5315-ND</t>
  </si>
  <si>
    <t xml:space="preserve">WR-PHD pin header, straight, male, 2 pos, 2.54 mm, 3 A</t>
  </si>
  <si>
    <t xml:space="preserve">R1</t>
  </si>
  <si>
    <t xml:space="preserve">200 Ω 1 %</t>
  </si>
  <si>
    <t xml:space="preserve">0805 (RESC2013X60X30ML20T20)</t>
  </si>
  <si>
    <t xml:space="preserve">KOA Speer</t>
  </si>
  <si>
    <t xml:space="preserve">RK73H2ATTD2000F</t>
  </si>
  <si>
    <t xml:space="preserve">2019-RK73H2ATTD2000FCT-ND</t>
  </si>
  <si>
    <t xml:space="preserve">Thick film, 200 Ω, ±1 %, 0.25 W, 0805 — divider top (OUT–ADJ)</t>
  </si>
  <si>
    <t xml:space="preserve">R2</t>
  </si>
  <si>
    <t xml:space="preserve">324 Ω 1 %</t>
  </si>
  <si>
    <t xml:space="preserve">RK73H2ATTD3240F</t>
  </si>
  <si>
    <t xml:space="preserve">2019-RK73H2ATTD3240FCT-ND</t>
  </si>
  <si>
    <t xml:space="preserve">Thick film, 324 Ω, ±1 %, 0.25 W, 0805 — divider bottom (ADJ–GND)</t>
  </si>
  <si>
    <t xml:space="preserve">R3</t>
  </si>
  <si>
    <t xml:space="preserve">432 Ω 1 %</t>
  </si>
  <si>
    <t xml:space="preserve">RK73H2ATTD4320F</t>
  </si>
  <si>
    <t xml:space="preserve">2019-RK73H2ATTD4320FCT-ND</t>
  </si>
  <si>
    <t xml:space="preserve">Thick film, 432 Ω, ±1 %, 0.25 W, 0805 — LED current limit</t>
  </si>
  <si>
    <t xml:space="preserve">U1</t>
  </si>
  <si>
    <t xml:space="preserve">LM1117-ADJ</t>
  </si>
  <si>
    <t xml:space="preserve">SOT-223 (DCY0004A_M)</t>
  </si>
  <si>
    <t xml:space="preserve">Texas Instruments</t>
  </si>
  <si>
    <t xml:space="preserve">LM1117MP-ADJ/NOPB</t>
  </si>
  <si>
    <t xml:space="preserve">LM1117MP-ADJ/NOPBCT-ND</t>
  </si>
  <si>
    <t xml:space="preserve">LDO regulator, adjustable 1.25–13.8 V, 800 mA, SOT-223; tab = V_OUT</t>
  </si>
  <si>
    <t xml:space="preserve">TOTAL</t>
  </si>
  <si>
    <t xml:space="preserve">Notes</t>
  </si>
  <si>
    <t xml:space="preserve">Blue = typed-in inputs (quantity, unit price). Ext. price and totals are formulas.</t>
  </si>
  <si>
    <t xml:space="preserve">U1, J1/J2, C1/C2 prices: DigiKey lookups during part selection. D1, R1, R3: Altium real-time supply-chain data (DigiKey, CAD).</t>
  </si>
  <si>
    <t xml:space="preserve">R2 supplier PN follows DigiKey's KOA pattern 2019-&lt;MPN&gt;CT-ND; confirm before ordering.</t>
  </si>
  <si>
    <t xml:space="preserve">Lifecycle: all Altium-resolved parts reported Volume Production (Oct 2026).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</si>
</sst>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27"/>
    <col collapsed="false" customWidth="true" hidden="false" outlineLevel="0" max="10" min="9" style="0" width="11"/>
    <col collapsed="false" customWidth="true" hidden="false" outlineLevel="0" max="11" min="11" style="0" width="5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n">
        <v>2</v>
      </c>
      <c r="C5" s="4" t="s">
        <v>14</v>
      </c>
      <c r="D5" s="6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7" t="n">
        <v>1</v>
      </c>
      <c r="J5" s="8" t="n">
        <f aca="false">B5*I5</f>
        <v>2</v>
      </c>
      <c r="K5" s="6" t="s">
        <v>20</v>
      </c>
    </row>
    <row r="6" customFormat="false" ht="15" hidden="false" customHeight="false" outlineLevel="0" collapsed="false">
      <c r="A6" s="4" t="s">
        <v>21</v>
      </c>
      <c r="B6" s="5" t="n">
        <v>1</v>
      </c>
      <c r="C6" s="4" t="s">
        <v>22</v>
      </c>
      <c r="D6" s="6" t="s">
        <v>23</v>
      </c>
      <c r="E6" s="4" t="s">
        <v>24</v>
      </c>
      <c r="F6" s="4" t="s">
        <v>25</v>
      </c>
      <c r="G6" s="4" t="s">
        <v>18</v>
      </c>
      <c r="H6" s="4" t="s">
        <v>26</v>
      </c>
      <c r="I6" s="7" t="n">
        <v>0.26</v>
      </c>
      <c r="J6" s="8" t="n">
        <f aca="false">B6*I6</f>
        <v>0.26</v>
      </c>
      <c r="K6" s="6" t="s">
        <v>27</v>
      </c>
    </row>
    <row r="7" customFormat="false" ht="15" hidden="false" customHeight="false" outlineLevel="0" collapsed="false">
      <c r="A7" s="4" t="s">
        <v>28</v>
      </c>
      <c r="B7" s="5" t="n">
        <v>2</v>
      </c>
      <c r="C7" s="4" t="s">
        <v>29</v>
      </c>
      <c r="D7" s="6" t="s">
        <v>30</v>
      </c>
      <c r="E7" s="4" t="s">
        <v>31</v>
      </c>
      <c r="F7" s="4" t="s">
        <v>32</v>
      </c>
      <c r="G7" s="4" t="s">
        <v>18</v>
      </c>
      <c r="H7" s="4" t="s">
        <v>33</v>
      </c>
      <c r="I7" s="7" t="n">
        <v>0.19</v>
      </c>
      <c r="J7" s="8" t="n">
        <f aca="false">B7*I7</f>
        <v>0.38</v>
      </c>
      <c r="K7" s="6" t="s">
        <v>34</v>
      </c>
    </row>
    <row r="8" customFormat="false" ht="15" hidden="false" customHeight="false" outlineLevel="0" collapsed="false">
      <c r="A8" s="4" t="s">
        <v>35</v>
      </c>
      <c r="B8" s="5" t="n">
        <v>1</v>
      </c>
      <c r="C8" s="4" t="s">
        <v>36</v>
      </c>
      <c r="D8" s="6" t="s">
        <v>37</v>
      </c>
      <c r="E8" s="4" t="s">
        <v>38</v>
      </c>
      <c r="F8" s="4" t="s">
        <v>39</v>
      </c>
      <c r="G8" s="4" t="s">
        <v>18</v>
      </c>
      <c r="H8" s="4" t="s">
        <v>40</v>
      </c>
      <c r="I8" s="7" t="n">
        <v>0.14</v>
      </c>
      <c r="J8" s="8" t="n">
        <f aca="false">B8*I8</f>
        <v>0.14</v>
      </c>
      <c r="K8" s="6" t="s">
        <v>41</v>
      </c>
    </row>
    <row r="9" customFormat="false" ht="15" hidden="false" customHeight="false" outlineLevel="0" collapsed="false">
      <c r="A9" s="4" t="s">
        <v>42</v>
      </c>
      <c r="B9" s="5" t="n">
        <v>1</v>
      </c>
      <c r="C9" s="4" t="s">
        <v>43</v>
      </c>
      <c r="D9" s="6" t="s">
        <v>37</v>
      </c>
      <c r="E9" s="4" t="s">
        <v>38</v>
      </c>
      <c r="F9" s="4" t="s">
        <v>44</v>
      </c>
      <c r="G9" s="4" t="s">
        <v>18</v>
      </c>
      <c r="H9" s="4" t="s">
        <v>45</v>
      </c>
      <c r="I9" s="7" t="n">
        <v>0.14</v>
      </c>
      <c r="J9" s="8" t="n">
        <f aca="false">B9*I9</f>
        <v>0.14</v>
      </c>
      <c r="K9" s="6" t="s">
        <v>46</v>
      </c>
    </row>
    <row r="10" customFormat="false" ht="15" hidden="false" customHeight="false" outlineLevel="0" collapsed="false">
      <c r="A10" s="4" t="s">
        <v>47</v>
      </c>
      <c r="B10" s="5" t="n">
        <v>1</v>
      </c>
      <c r="C10" s="4" t="s">
        <v>48</v>
      </c>
      <c r="D10" s="6" t="s">
        <v>37</v>
      </c>
      <c r="E10" s="4" t="s">
        <v>38</v>
      </c>
      <c r="F10" s="4" t="s">
        <v>49</v>
      </c>
      <c r="G10" s="4" t="s">
        <v>18</v>
      </c>
      <c r="H10" s="4" t="s">
        <v>50</v>
      </c>
      <c r="I10" s="7" t="n">
        <v>0.14</v>
      </c>
      <c r="J10" s="8" t="n">
        <f aca="false">B10*I10</f>
        <v>0.14</v>
      </c>
      <c r="K10" s="6" t="s">
        <v>51</v>
      </c>
    </row>
    <row r="11" customFormat="false" ht="23.85" hidden="false" customHeight="false" outlineLevel="0" collapsed="false">
      <c r="A11" s="4" t="s">
        <v>52</v>
      </c>
      <c r="B11" s="5" t="n">
        <v>1</v>
      </c>
      <c r="C11" s="4" t="s">
        <v>53</v>
      </c>
      <c r="D11" s="6" t="s">
        <v>54</v>
      </c>
      <c r="E11" s="4" t="s">
        <v>55</v>
      </c>
      <c r="F11" s="4" t="s">
        <v>56</v>
      </c>
      <c r="G11" s="4" t="s">
        <v>18</v>
      </c>
      <c r="H11" s="4" t="s">
        <v>57</v>
      </c>
      <c r="I11" s="7" t="n">
        <v>2.58</v>
      </c>
      <c r="J11" s="8" t="n">
        <f aca="false">B11*I11</f>
        <v>2.58</v>
      </c>
      <c r="K11" s="6" t="s">
        <v>58</v>
      </c>
    </row>
    <row r="12" customFormat="false" ht="15" hidden="false" customHeight="false" outlineLevel="0" collapsed="false">
      <c r="A12" s="9" t="s">
        <v>59</v>
      </c>
      <c r="B12" s="9" t="n">
        <f aca="false">SUM(B5:B11)</f>
        <v>9</v>
      </c>
      <c r="C12" s="9"/>
      <c r="D12" s="10"/>
      <c r="E12" s="9"/>
      <c r="F12" s="9"/>
      <c r="G12" s="9"/>
      <c r="H12" s="9"/>
      <c r="I12" s="11"/>
      <c r="J12" s="11" t="n">
        <f aca="false">SUM(J5:J11)</f>
        <v>5.64</v>
      </c>
      <c r="K12" s="10"/>
    </row>
    <row r="14" customFormat="false" ht="15" hidden="false" customHeight="false" outlineLevel="0" collapsed="false">
      <c r="A14" s="12" t="s">
        <v>60</v>
      </c>
    </row>
    <row r="15" customFormat="false" ht="15" hidden="false" customHeight="false" outlineLevel="0" collapsed="false">
      <c r="A15" s="13" t="s">
        <v>61</v>
      </c>
    </row>
    <row r="16" customFormat="false" ht="15" hidden="false" customHeight="false" outlineLevel="0" collapsed="false">
      <c r="A16" s="13" t="s">
        <v>62</v>
      </c>
    </row>
    <row r="17" customFormat="false" ht="15" hidden="false" customHeight="false" outlineLevel="0" collapsed="false">
      <c r="A17" s="13" t="s">
        <v>63</v>
      </c>
    </row>
    <row r="18" customFormat="false" ht="15" hidden="false" customHeight="false" outlineLevel="0" collapsed="false">
      <c r="A18" s="1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2026-10-02T05:38:42Z</dcterms:created>
  <dc:creator>openpyxl</dc:creator>
  <dc:description/>
  <dc:language>en-US</dc:language>
  <cp:lastModifiedBy/>
  <dcterms:modified xsi:type="dcterms:W3CDTF">2026-10-02T05:38:42Z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